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ColinDev\SD7-DrJones\Common\"/>
    </mc:Choice>
  </mc:AlternateContent>
  <xr:revisionPtr revIDLastSave="0" documentId="13_ncr:11_{8DCC2BA6-DBA9-4284-A5B3-395E883B23E5}" xr6:coauthVersionLast="45" xr6:coauthVersionMax="45" xr10:uidLastSave="{00000000-0000-0000-0000-000000000000}"/>
  <bookViews>
    <workbookView xWindow="-120" yWindow="-120" windowWidth="29040" windowHeight="17640" activeTab="3" xr2:uid="{F9964ADE-4554-4E0A-8F2B-C456002B3731}"/>
  </bookViews>
  <sheets>
    <sheet name="Data" sheetId="1" r:id="rId1"/>
    <sheet name="Data Breakdown" sheetId="3" r:id="rId2"/>
    <sheet name="Charts" sheetId="4" r:id="rId3"/>
    <sheet name="MVF Breakdown" sheetId="2" r:id="rId4"/>
    <sheet name="Holidays" sheetId="5" r:id="rId5"/>
  </sheets>
  <externalReferences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3" l="1"/>
  <c r="C29" i="3"/>
  <c r="C28" i="3"/>
  <c r="C27" i="3"/>
  <c r="C26" i="3"/>
  <c r="C25" i="3"/>
  <c r="C24" i="3"/>
  <c r="C23" i="3"/>
  <c r="C22" i="3"/>
  <c r="C21" i="3"/>
  <c r="C20" i="3"/>
  <c r="C18" i="3"/>
  <c r="C19" i="3"/>
  <c r="C17" i="3"/>
  <c r="C16" i="3"/>
  <c r="D14" i="2" s="1"/>
  <c r="C15" i="3"/>
  <c r="C14" i="3"/>
  <c r="C13" i="3"/>
  <c r="C12" i="3"/>
  <c r="C11" i="3"/>
  <c r="C10" i="3"/>
  <c r="C9" i="3"/>
  <c r="D13" i="2" s="1"/>
  <c r="C8" i="3"/>
  <c r="C7" i="3"/>
  <c r="C6" i="3"/>
  <c r="C5" i="3"/>
  <c r="C4" i="3"/>
  <c r="C3" i="3"/>
  <c r="C2" i="3"/>
  <c r="D4" i="2"/>
  <c r="D3" i="2"/>
  <c r="D2" i="2"/>
  <c r="D8" i="2"/>
  <c r="D9" i="2"/>
  <c r="D10" i="2"/>
  <c r="D16" i="2" l="1"/>
</calcChain>
</file>

<file path=xl/sharedStrings.xml><?xml version="1.0" encoding="utf-8"?>
<sst xmlns="http://schemas.openxmlformats.org/spreadsheetml/2006/main" count="27" uniqueCount="21">
  <si>
    <t>Story Points</t>
  </si>
  <si>
    <t>Time Taken</t>
  </si>
  <si>
    <t>Days Taken</t>
  </si>
  <si>
    <t>&lt;1</t>
  </si>
  <si>
    <t>&gt;5</t>
  </si>
  <si>
    <t>&gt;2</t>
  </si>
  <si>
    <t>MVF Details</t>
  </si>
  <si>
    <t>No of small stories</t>
  </si>
  <si>
    <t>No of medium stories</t>
  </si>
  <si>
    <t>No of large stories</t>
  </si>
  <si>
    <t>Start Date:</t>
  </si>
  <si>
    <t>Actual End Date:</t>
  </si>
  <si>
    <t>Estimated End Date:</t>
  </si>
  <si>
    <t>Working Days (Actual):</t>
  </si>
  <si>
    <t>Working Days (Estimated):</t>
  </si>
  <si>
    <t>Total Days taken:</t>
  </si>
  <si>
    <t>No of people on team:</t>
  </si>
  <si>
    <t>Unplanned absences:</t>
  </si>
  <si>
    <t>No of Small stories turning to medium:</t>
  </si>
  <si>
    <t>No of Medium stories turning to large:</t>
  </si>
  <si>
    <t xml:space="preserve">Disparancy (Days):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</si>
</sst>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2" fontId="0" fillId="0" borderId="0" xfId="0" applyNumberFormat="1"/>
    <xf numFmtId="15" fontId="0" fillId="0" borderId="0" xfId="0" applyNumberForma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Stories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85C-4CA9-9012-54E2C7D6049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85C-4CA9-9012-54E2C7D6049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85C-4CA9-9012-54E2C7D60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85C-4CA9-9012-54E2C7D6049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85C-4CA9-9012-54E2C7D6049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85C-4CA9-9012-54E2C7D6049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85C-4CA9-9012-54E2C7D6049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Breakdown'!$B$24:$B$30</c:f>
              <c:strCache>
                <c:ptCount val="7"/>
                <c:pt idx="0">
                  <c:v>&lt;1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&gt;5</c:v>
                </c:pt>
              </c:strCache>
            </c:strRef>
          </c:cat>
          <c:val>
            <c:numRef>
              <c:f>'Data Breakdown'!$C$24:$C$30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85C-4CA9-9012-54E2C7D6049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Small Stories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D49-4A9A-A2B0-6B7A4239BE0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D49-4A9A-A2B0-6B7A4239BE0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D49-4A9A-A2B0-6B7A4239BE0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D49-4A9A-A2B0-6B7A4239BE0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D49-4A9A-A2B0-6B7A4239BE0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D49-4A9A-A2B0-6B7A4239BE0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FD49-4A9A-A2B0-6B7A4239BE0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Breakdown'!$B$2:$B$8</c:f>
              <c:strCache>
                <c:ptCount val="7"/>
                <c:pt idx="0">
                  <c:v>&lt;1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&gt;5</c:v>
                </c:pt>
              </c:strCache>
            </c:strRef>
          </c:cat>
          <c:val>
            <c:numRef>
              <c:f>'Data Breakdown'!$C$2:$C$8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49-4A9A-A2B0-6B7A4239BE0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Medium Stories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11B-4303-B926-D780B61BF64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11B-4303-B926-D780B61BF64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11B-4303-B926-D780B61BF64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11B-4303-B926-D780B61BF64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11B-4303-B926-D780B61BF64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11B-4303-B926-D780B61BF64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11B-4303-B926-D780B61BF64D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Breakdown'!$B$10:$B$16</c:f>
              <c:strCache>
                <c:ptCount val="7"/>
                <c:pt idx="0">
                  <c:v>&lt;1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&gt;5</c:v>
                </c:pt>
              </c:strCache>
            </c:strRef>
          </c:cat>
          <c:val>
            <c:numRef>
              <c:f>'Data Breakdown'!$C$10:$C$16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11B-4303-B926-D780B61BF64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Large Stories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22B-4A8B-AE6C-9FA1AEA9DB8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22B-4A8B-AE6C-9FA1AEA9DB8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22B-4A8B-AE6C-9FA1AEA9DB8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22B-4A8B-AE6C-9FA1AEA9DB8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22B-4A8B-AE6C-9FA1AEA9DB8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22B-4A8B-AE6C-9FA1AEA9DB8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22B-4A8B-AE6C-9FA1AEA9DB8F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Breakdown'!$B$17:$B$23</c:f>
              <c:strCache>
                <c:ptCount val="7"/>
                <c:pt idx="0">
                  <c:v>&lt;1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&gt;5</c:v>
                </c:pt>
              </c:strCache>
            </c:strRef>
          </c:cat>
          <c:val>
            <c:numRef>
              <c:f>'Data Breakdown'!$C$17:$C$23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22B-4A8B-AE6C-9FA1AEA9DB8F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90488</xdr:colOff>
      <xdr:row>13</xdr:row>
      <xdr:rowOff>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657B24-21DD-4C0C-A99F-2082F2A97F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11</xdr:col>
      <xdr:colOff>90488</xdr:colOff>
      <xdr:row>13</xdr:row>
      <xdr:rowOff>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FD75159-D548-4D5F-B516-A95BBC1AC6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9525</xdr:colOff>
      <xdr:row>0</xdr:row>
      <xdr:rowOff>9525</xdr:rowOff>
    </xdr:from>
    <xdr:to>
      <xdr:col>17</xdr:col>
      <xdr:colOff>100013</xdr:colOff>
      <xdr:row>13</xdr:row>
      <xdr:rowOff>9526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6188814-C564-4E3C-9AAB-45444D8778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600075</xdr:colOff>
      <xdr:row>0</xdr:row>
      <xdr:rowOff>9525</xdr:rowOff>
    </xdr:from>
    <xdr:to>
      <xdr:col>23</xdr:col>
      <xdr:colOff>80963</xdr:colOff>
      <xdr:row>13</xdr:row>
      <xdr:rowOff>9526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CBF2200-92DF-469F-A4C1-E2C2F4C00B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MVF_breakdownNew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Data Breakdown"/>
      <sheetName val="MVF Breakdown"/>
      <sheetName val="Charts"/>
      <sheetName val="Holidays"/>
    </sheetNames>
    <sheetDataSet>
      <sheetData sheetId="0"/>
      <sheetData sheetId="1">
        <row r="2">
          <cell r="B2" t="str">
            <v>&lt;1</v>
          </cell>
          <cell r="C2">
            <v>0</v>
          </cell>
        </row>
        <row r="3">
          <cell r="B3">
            <v>1</v>
          </cell>
          <cell r="C3">
            <v>0</v>
          </cell>
        </row>
        <row r="4">
          <cell r="B4">
            <v>2</v>
          </cell>
          <cell r="C4">
            <v>0</v>
          </cell>
        </row>
        <row r="5">
          <cell r="B5">
            <v>3</v>
          </cell>
          <cell r="C5">
            <v>0</v>
          </cell>
        </row>
        <row r="6">
          <cell r="B6">
            <v>4</v>
          </cell>
          <cell r="C6">
            <v>0</v>
          </cell>
        </row>
        <row r="7">
          <cell r="B7">
            <v>5</v>
          </cell>
          <cell r="C7">
            <v>0</v>
          </cell>
        </row>
        <row r="8">
          <cell r="B8" t="str">
            <v>&gt;5</v>
          </cell>
          <cell r="C8">
            <v>0</v>
          </cell>
        </row>
        <row r="10">
          <cell r="B10" t="str">
            <v>&lt;1</v>
          </cell>
          <cell r="C10">
            <v>0</v>
          </cell>
        </row>
        <row r="11">
          <cell r="B11">
            <v>1</v>
          </cell>
          <cell r="C11">
            <v>0</v>
          </cell>
        </row>
        <row r="12">
          <cell r="B12">
            <v>2</v>
          </cell>
          <cell r="C12">
            <v>0</v>
          </cell>
        </row>
        <row r="13">
          <cell r="B13">
            <v>3</v>
          </cell>
          <cell r="C13">
            <v>0</v>
          </cell>
        </row>
        <row r="14">
          <cell r="B14">
            <v>4</v>
          </cell>
          <cell r="C14">
            <v>0</v>
          </cell>
        </row>
        <row r="15">
          <cell r="B15">
            <v>5</v>
          </cell>
          <cell r="C15">
            <v>0</v>
          </cell>
        </row>
        <row r="16">
          <cell r="B16" t="str">
            <v>&gt;5</v>
          </cell>
          <cell r="C16">
            <v>0</v>
          </cell>
        </row>
        <row r="17">
          <cell r="B17" t="str">
            <v>&lt;1</v>
          </cell>
          <cell r="C17">
            <v>0</v>
          </cell>
        </row>
        <row r="18">
          <cell r="B18">
            <v>1</v>
          </cell>
          <cell r="C18">
            <v>0</v>
          </cell>
        </row>
        <row r="19">
          <cell r="B19">
            <v>2</v>
          </cell>
          <cell r="C19">
            <v>0</v>
          </cell>
        </row>
        <row r="20">
          <cell r="B20">
            <v>3</v>
          </cell>
          <cell r="C20">
            <v>0</v>
          </cell>
        </row>
        <row r="21">
          <cell r="B21">
            <v>4</v>
          </cell>
          <cell r="C21">
            <v>0</v>
          </cell>
        </row>
        <row r="22">
          <cell r="B22">
            <v>5</v>
          </cell>
          <cell r="C22">
            <v>0</v>
          </cell>
        </row>
        <row r="23">
          <cell r="B23" t="str">
            <v>&gt;5</v>
          </cell>
          <cell r="C23">
            <v>0</v>
          </cell>
        </row>
        <row r="24">
          <cell r="B24" t="str">
            <v>&lt;1</v>
          </cell>
          <cell r="C24">
            <v>0</v>
          </cell>
        </row>
        <row r="25">
          <cell r="B25">
            <v>1</v>
          </cell>
          <cell r="C25">
            <v>0</v>
          </cell>
        </row>
        <row r="26">
          <cell r="B26">
            <v>2</v>
          </cell>
          <cell r="C26">
            <v>0</v>
          </cell>
        </row>
        <row r="27">
          <cell r="B27">
            <v>3</v>
          </cell>
          <cell r="C27">
            <v>0</v>
          </cell>
        </row>
        <row r="28">
          <cell r="B28">
            <v>4</v>
          </cell>
          <cell r="C28">
            <v>0</v>
          </cell>
        </row>
        <row r="29">
          <cell r="B29">
            <v>5</v>
          </cell>
          <cell r="C29">
            <v>0</v>
          </cell>
        </row>
        <row r="30">
          <cell r="B30" t="str">
            <v>&gt;5</v>
          </cell>
          <cell r="C30">
            <v>0</v>
          </cell>
        </row>
      </sheetData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DB28E7-00AD-4C68-8D10-15B47E59D922}" name="Table2" displayName="Table2" ref="A1:C30" totalsRowShown="0" headerRowDxfId="0">
  <autoFilter ref="A1:C30" xr:uid="{7659EC69-D61A-4245-AD3A-CE2A2A7692C1}"/>
  <tableColumns count="3">
    <tableColumn id="1" xr3:uid="{0C7F7590-8192-4922-A1A4-C4FBA7B712D6}" name="Story Points"/>
    <tableColumn id="2" xr3:uid="{A7C146FE-5C55-4EC2-B69D-A9DC26034341}" name="Time Taken"/>
    <tableColumn id="3" xr3:uid="{71D56E23-298F-4AA2-AC3E-3F425D5038C4}" name="Days Take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FE596-4A8C-4BD3-891E-6C8B5825E581}">
  <dimension ref="A1"/>
  <sheetViews>
    <sheetView workbookViewId="0">
      <selection activeCell="C44" sqref="C44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C0C32-1931-4E26-AE00-016A0AEB14A0}">
  <dimension ref="A1:C30"/>
  <sheetViews>
    <sheetView workbookViewId="0">
      <selection activeCell="C2" sqref="C2"/>
    </sheetView>
  </sheetViews>
  <sheetFormatPr defaultRowHeight="15" x14ac:dyDescent="0.25"/>
  <cols>
    <col min="1" max="1" width="13.85546875" bestFit="1" customWidth="1"/>
    <col min="2" max="2" width="13.42578125" bestFit="1" customWidth="1"/>
    <col min="3" max="3" width="13.140625" bestFit="1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>
        <v>1</v>
      </c>
      <c r="B2" t="s">
        <v>3</v>
      </c>
      <c r="C2">
        <f>COUNTIFS(Data!E2:E300,"&lt;1",Data!D2:D300, "1")</f>
        <v>0</v>
      </c>
    </row>
    <row r="3" spans="1:3" x14ac:dyDescent="0.25">
      <c r="A3">
        <v>1</v>
      </c>
      <c r="B3">
        <v>1</v>
      </c>
      <c r="C3">
        <f>COUNTIFS(Data!E2:E300,"1",Data!D2:D300, "1")</f>
        <v>0</v>
      </c>
    </row>
    <row r="4" spans="1:3" x14ac:dyDescent="0.25">
      <c r="A4">
        <v>1</v>
      </c>
      <c r="B4">
        <v>2</v>
      </c>
      <c r="C4">
        <f>COUNTIFS(Data!E2:E300,"2",Data!D2:D300, "1")</f>
        <v>0</v>
      </c>
    </row>
    <row r="5" spans="1:3" x14ac:dyDescent="0.25">
      <c r="A5">
        <v>1</v>
      </c>
      <c r="B5">
        <v>3</v>
      </c>
      <c r="C5">
        <f>COUNTIFS(Data!E2:E300,"3",Data!D2:D300, "1")</f>
        <v>0</v>
      </c>
    </row>
    <row r="6" spans="1:3" x14ac:dyDescent="0.25">
      <c r="A6">
        <v>1</v>
      </c>
      <c r="B6">
        <v>4</v>
      </c>
      <c r="C6">
        <f>COUNTIFS(Data!E2:E300,"4",Data!D2:D300, "1")</f>
        <v>0</v>
      </c>
    </row>
    <row r="7" spans="1:3" x14ac:dyDescent="0.25">
      <c r="A7">
        <v>1</v>
      </c>
      <c r="B7">
        <v>5</v>
      </c>
      <c r="C7">
        <f>COUNTIFS(Data!E2:E300,"5",Data!D2:D300, "1")</f>
        <v>0</v>
      </c>
    </row>
    <row r="8" spans="1:3" x14ac:dyDescent="0.25">
      <c r="A8">
        <v>1</v>
      </c>
      <c r="B8" t="s">
        <v>4</v>
      </c>
      <c r="C8">
        <f>COUNTIFS(Data!E2:E300,"&gt;5",Data!D2:D300, "1")</f>
        <v>0</v>
      </c>
    </row>
    <row r="9" spans="1:3" x14ac:dyDescent="0.25">
      <c r="A9">
        <v>1</v>
      </c>
      <c r="B9" t="s">
        <v>5</v>
      </c>
      <c r="C9">
        <f>COUNTIFS(Data!E2:E300,"&gt;2",Data!D2:D300, "1")</f>
        <v>0</v>
      </c>
    </row>
    <row r="10" spans="1:3" x14ac:dyDescent="0.25">
      <c r="A10">
        <v>2</v>
      </c>
      <c r="B10" t="s">
        <v>3</v>
      </c>
      <c r="C10">
        <f>COUNTIFS(Data!E2:E300,"&lt;1",Data!D2:D300, "2")</f>
        <v>0</v>
      </c>
    </row>
    <row r="11" spans="1:3" x14ac:dyDescent="0.25">
      <c r="A11">
        <v>2</v>
      </c>
      <c r="B11">
        <v>1</v>
      </c>
      <c r="C11">
        <f>COUNTIFS(Data!E2:E300,"1",Data!D2:D300, "2")</f>
        <v>0</v>
      </c>
    </row>
    <row r="12" spans="1:3" x14ac:dyDescent="0.25">
      <c r="A12">
        <v>2</v>
      </c>
      <c r="B12">
        <v>2</v>
      </c>
      <c r="C12">
        <f>COUNTIFS(Data!E2:E300,"2",Data!D2:D300, "2")</f>
        <v>0</v>
      </c>
    </row>
    <row r="13" spans="1:3" x14ac:dyDescent="0.25">
      <c r="A13">
        <v>2</v>
      </c>
      <c r="B13">
        <v>3</v>
      </c>
      <c r="C13">
        <f>COUNTIFS(Data!E2:E300,"3",Data!D2:D300, "2")</f>
        <v>0</v>
      </c>
    </row>
    <row r="14" spans="1:3" x14ac:dyDescent="0.25">
      <c r="A14">
        <v>2</v>
      </c>
      <c r="B14">
        <v>4</v>
      </c>
      <c r="C14">
        <f>COUNTIFS(Data!E2:E300,"4",Data!D2:D300, "2")</f>
        <v>0</v>
      </c>
    </row>
    <row r="15" spans="1:3" x14ac:dyDescent="0.25">
      <c r="A15">
        <v>2</v>
      </c>
      <c r="B15">
        <v>5</v>
      </c>
      <c r="C15">
        <f>COUNTIFS(Data!E2:E300,"5",Data!D2:D300, "2")</f>
        <v>0</v>
      </c>
    </row>
    <row r="16" spans="1:3" x14ac:dyDescent="0.25">
      <c r="A16">
        <v>2</v>
      </c>
      <c r="B16" t="s">
        <v>4</v>
      </c>
      <c r="C16">
        <f>COUNTIFS(Data!E2:E300,"&gt;5",Data!D2:D300, "2")</f>
        <v>0</v>
      </c>
    </row>
    <row r="17" spans="1:3" x14ac:dyDescent="0.25">
      <c r="A17">
        <v>3</v>
      </c>
      <c r="B17" t="s">
        <v>3</v>
      </c>
      <c r="C17">
        <f>COUNTIFS(Data!E2:E300,"&lt;1",Data!D2:D300, "3")</f>
        <v>0</v>
      </c>
    </row>
    <row r="18" spans="1:3" x14ac:dyDescent="0.25">
      <c r="A18">
        <v>3</v>
      </c>
      <c r="B18">
        <v>1</v>
      </c>
      <c r="C18">
        <f>COUNTIFS(Data!E2:E300,"1",Data!D2:D300, "3")</f>
        <v>0</v>
      </c>
    </row>
    <row r="19" spans="1:3" x14ac:dyDescent="0.25">
      <c r="A19">
        <v>3</v>
      </c>
      <c r="B19">
        <v>2</v>
      </c>
      <c r="C19">
        <f>COUNTIFS(Data!E2:E300,"2",Data!D2:D300, "3")</f>
        <v>0</v>
      </c>
    </row>
    <row r="20" spans="1:3" x14ac:dyDescent="0.25">
      <c r="A20">
        <v>3</v>
      </c>
      <c r="B20">
        <v>3</v>
      </c>
      <c r="C20">
        <f>COUNTIFS(Data!E2:E300,"3",Data!D2:D300, "3")</f>
        <v>0</v>
      </c>
    </row>
    <row r="21" spans="1:3" x14ac:dyDescent="0.25">
      <c r="A21">
        <v>3</v>
      </c>
      <c r="B21">
        <v>4</v>
      </c>
      <c r="C21">
        <f>COUNTIFS(Data!E2:E300,"4",Data!D2:D300, "3")</f>
        <v>0</v>
      </c>
    </row>
    <row r="22" spans="1:3" x14ac:dyDescent="0.25">
      <c r="A22">
        <v>3</v>
      </c>
      <c r="B22">
        <v>5</v>
      </c>
      <c r="C22">
        <f>COUNTIFS(Data!E2:E300,"5",Data!D2:D300, "3")</f>
        <v>0</v>
      </c>
    </row>
    <row r="23" spans="1:3" x14ac:dyDescent="0.25">
      <c r="A23">
        <v>3</v>
      </c>
      <c r="B23" t="s">
        <v>4</v>
      </c>
      <c r="C23">
        <f>COUNTIFS(Data!E2:E300,"&gt;5",Data!D2:D300, "3")</f>
        <v>0</v>
      </c>
    </row>
    <row r="24" spans="1:3" x14ac:dyDescent="0.25">
      <c r="A24">
        <v>0</v>
      </c>
      <c r="B24" t="s">
        <v>3</v>
      </c>
      <c r="C24">
        <f>COUNTIF(Data!E2:E300, "&lt;1")</f>
        <v>0</v>
      </c>
    </row>
    <row r="25" spans="1:3" x14ac:dyDescent="0.25">
      <c r="A25">
        <v>0</v>
      </c>
      <c r="B25">
        <v>1</v>
      </c>
      <c r="C25">
        <f>COUNTIF(Data!E2:E300, "1")</f>
        <v>0</v>
      </c>
    </row>
    <row r="26" spans="1:3" x14ac:dyDescent="0.25">
      <c r="A26">
        <v>0</v>
      </c>
      <c r="B26">
        <v>2</v>
      </c>
      <c r="C26">
        <f>COUNTIF(Data!E2:E300, "2")</f>
        <v>0</v>
      </c>
    </row>
    <row r="27" spans="1:3" x14ac:dyDescent="0.25">
      <c r="A27">
        <v>0</v>
      </c>
      <c r="B27">
        <v>3</v>
      </c>
      <c r="C27">
        <f>COUNTIF(Data!E2:E300, "3")</f>
        <v>0</v>
      </c>
    </row>
    <row r="28" spans="1:3" x14ac:dyDescent="0.25">
      <c r="A28">
        <v>0</v>
      </c>
      <c r="B28">
        <v>4</v>
      </c>
      <c r="C28">
        <f>COUNTIF(Data!E2:E300, "4")</f>
        <v>0</v>
      </c>
    </row>
    <row r="29" spans="1:3" x14ac:dyDescent="0.25">
      <c r="A29">
        <v>0</v>
      </c>
      <c r="B29">
        <v>5</v>
      </c>
      <c r="C29">
        <f>COUNTIF(Data!E2:E300, "5")</f>
        <v>0</v>
      </c>
    </row>
    <row r="30" spans="1:3" x14ac:dyDescent="0.25">
      <c r="A30">
        <v>0</v>
      </c>
      <c r="B30" t="s">
        <v>4</v>
      </c>
      <c r="C30">
        <f>COUNTIF(Data!E2:E300, "&gt;5")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D5A20-8080-4C79-B468-3AB9528EBD1F}">
  <dimension ref="A1"/>
  <sheetViews>
    <sheetView workbookViewId="0">
      <selection activeCell="L27" sqref="L2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9E6F1-0073-4E73-8E3E-D872059A47C0}">
  <dimension ref="A1:D16"/>
  <sheetViews>
    <sheetView tabSelected="1" workbookViewId="0">
      <selection activeCell="D2" sqref="D2"/>
    </sheetView>
  </sheetViews>
  <sheetFormatPr defaultRowHeight="15" x14ac:dyDescent="0.25"/>
  <cols>
    <col min="1" max="1" width="36" bestFit="1" customWidth="1"/>
  </cols>
  <sheetData>
    <row r="1" spans="1:4" x14ac:dyDescent="0.25">
      <c r="A1" s="2" t="s">
        <v>6</v>
      </c>
      <c r="B1" s="3"/>
      <c r="C1" s="3"/>
      <c r="D1" s="3"/>
    </row>
    <row r="2" spans="1:4" x14ac:dyDescent="0.25">
      <c r="A2" s="4" t="s">
        <v>7</v>
      </c>
      <c r="B2" s="4"/>
      <c r="C2" s="4"/>
      <c r="D2" s="5">
        <f>COUNTIF(Data!D:D,1)</f>
        <v>0</v>
      </c>
    </row>
    <row r="3" spans="1:4" x14ac:dyDescent="0.25">
      <c r="A3" s="4" t="s">
        <v>8</v>
      </c>
      <c r="B3" s="4"/>
      <c r="C3" s="4"/>
      <c r="D3" s="5">
        <f>COUNTIF(Data!D:D,2)</f>
        <v>0</v>
      </c>
    </row>
    <row r="4" spans="1:4" x14ac:dyDescent="0.25">
      <c r="A4" s="4" t="s">
        <v>9</v>
      </c>
      <c r="B4" s="4"/>
      <c r="C4" s="4"/>
      <c r="D4" s="5">
        <f>COUNTIF(Data!D:D,3)</f>
        <v>0</v>
      </c>
    </row>
    <row r="5" spans="1:4" x14ac:dyDescent="0.25">
      <c r="A5" s="4" t="s">
        <v>10</v>
      </c>
      <c r="B5" s="4"/>
      <c r="C5" s="4"/>
      <c r="D5" s="6"/>
    </row>
    <row r="6" spans="1:4" x14ac:dyDescent="0.25">
      <c r="A6" s="4" t="s">
        <v>11</v>
      </c>
      <c r="B6" s="4"/>
      <c r="C6" s="4"/>
      <c r="D6" s="6"/>
    </row>
    <row r="7" spans="1:4" x14ac:dyDescent="0.25">
      <c r="A7" s="4" t="s">
        <v>12</v>
      </c>
      <c r="B7" s="4"/>
      <c r="C7" s="4"/>
      <c r="D7" s="6"/>
    </row>
    <row r="8" spans="1:4" x14ac:dyDescent="0.25">
      <c r="A8" s="4" t="s">
        <v>13</v>
      </c>
      <c r="B8" s="4"/>
      <c r="C8" s="4"/>
      <c r="D8" s="5">
        <f>NETWORKDAYS(D5, D6, Holidays!A1:A20)</f>
        <v>0</v>
      </c>
    </row>
    <row r="9" spans="1:4" x14ac:dyDescent="0.25">
      <c r="A9" s="4" t="s">
        <v>14</v>
      </c>
      <c r="B9" s="4"/>
      <c r="C9" s="4"/>
      <c r="D9" s="5">
        <f>NETWORKDAYS(D5, D7, Holidays!A1:A20)</f>
        <v>0</v>
      </c>
    </row>
    <row r="10" spans="1:4" x14ac:dyDescent="0.25">
      <c r="A10" s="4" t="s">
        <v>15</v>
      </c>
      <c r="D10" s="7">
        <f>SUM(Data!E:E)</f>
        <v>0</v>
      </c>
    </row>
    <row r="11" spans="1:4" x14ac:dyDescent="0.25">
      <c r="A11" s="4" t="s">
        <v>16</v>
      </c>
      <c r="D11" s="5"/>
    </row>
    <row r="12" spans="1:4" x14ac:dyDescent="0.25">
      <c r="A12" s="4" t="s">
        <v>17</v>
      </c>
      <c r="D12" s="5"/>
    </row>
    <row r="13" spans="1:4" x14ac:dyDescent="0.25">
      <c r="A13" s="4" t="s">
        <v>18</v>
      </c>
      <c r="D13" s="5">
        <f>'Data Breakdown'!C9</f>
        <v>0</v>
      </c>
    </row>
    <row r="14" spans="1:4" x14ac:dyDescent="0.25">
      <c r="A14" s="4" t="s">
        <v>19</v>
      </c>
      <c r="D14" s="5">
        <f>'Data Breakdown'!C16</f>
        <v>0</v>
      </c>
    </row>
    <row r="16" spans="1:4" x14ac:dyDescent="0.25">
      <c r="A16" s="4" t="s">
        <v>20</v>
      </c>
      <c r="D16" s="5">
        <f>D8-D9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25B15-7D01-4B6D-9B20-56634947483B}">
  <dimension ref="A1:A20"/>
  <sheetViews>
    <sheetView workbookViewId="0">
      <selection activeCell="L21" sqref="L21"/>
    </sheetView>
  </sheetViews>
  <sheetFormatPr defaultRowHeight="15" x14ac:dyDescent="0.25"/>
  <cols>
    <col min="1" max="1" width="10.140625" bestFit="1" customWidth="1"/>
  </cols>
  <sheetData>
    <row r="1" spans="1:1" x14ac:dyDescent="0.25">
      <c r="A1" s="8">
        <v>43466</v>
      </c>
    </row>
    <row r="2" spans="1:1" x14ac:dyDescent="0.25">
      <c r="A2" s="8">
        <v>43542</v>
      </c>
    </row>
    <row r="3" spans="1:1" x14ac:dyDescent="0.25">
      <c r="A3" s="8">
        <v>43574</v>
      </c>
    </row>
    <row r="4" spans="1:1" x14ac:dyDescent="0.25">
      <c r="A4" s="8">
        <v>43577</v>
      </c>
    </row>
    <row r="5" spans="1:1" x14ac:dyDescent="0.25">
      <c r="A5" s="8">
        <v>43591</v>
      </c>
    </row>
    <row r="6" spans="1:1" x14ac:dyDescent="0.25">
      <c r="A6" s="8">
        <v>43612</v>
      </c>
    </row>
    <row r="7" spans="1:1" x14ac:dyDescent="0.25">
      <c r="A7" s="8">
        <v>43661</v>
      </c>
    </row>
    <row r="8" spans="1:1" x14ac:dyDescent="0.25">
      <c r="A8" s="8">
        <v>43703</v>
      </c>
    </row>
    <row r="9" spans="1:1" x14ac:dyDescent="0.25">
      <c r="A9" s="8">
        <v>43824</v>
      </c>
    </row>
    <row r="10" spans="1:1" x14ac:dyDescent="0.25">
      <c r="A10" s="8">
        <v>43825</v>
      </c>
    </row>
    <row r="11" spans="1:1" x14ac:dyDescent="0.25">
      <c r="A11" s="8">
        <v>43831</v>
      </c>
    </row>
    <row r="12" spans="1:1" x14ac:dyDescent="0.25">
      <c r="A12" s="8">
        <v>43907</v>
      </c>
    </row>
    <row r="13" spans="1:1" x14ac:dyDescent="0.25">
      <c r="A13" s="8">
        <v>43931</v>
      </c>
    </row>
    <row r="14" spans="1:1" x14ac:dyDescent="0.25">
      <c r="A14" s="8">
        <v>43934</v>
      </c>
    </row>
    <row r="15" spans="1:1" x14ac:dyDescent="0.25">
      <c r="A15" s="8">
        <v>43959</v>
      </c>
    </row>
    <row r="16" spans="1:1" x14ac:dyDescent="0.25">
      <c r="A16" s="8">
        <v>43976</v>
      </c>
    </row>
    <row r="17" spans="1:1" x14ac:dyDescent="0.25">
      <c r="A17" s="8">
        <v>44025</v>
      </c>
    </row>
    <row r="18" spans="1:1" x14ac:dyDescent="0.25">
      <c r="A18" s="8">
        <v>44074</v>
      </c>
    </row>
    <row r="19" spans="1:1" x14ac:dyDescent="0.25">
      <c r="A19" s="8">
        <v>44190</v>
      </c>
    </row>
    <row r="20" spans="1:1" x14ac:dyDescent="0.25">
      <c r="A20" s="8">
        <v>44193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Data Breakdown</vt:lpstr>
      <vt:lpstr>Charts</vt:lpstr>
      <vt:lpstr>MVF Breakdown</vt:lpstr>
      <vt:lpstr>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Colin</dc:creator>
  <cp:lastModifiedBy>Colin</cp:lastModifiedBy>
  <dcterms:created xsi:type="dcterms:W3CDTF">2020-10-23T14:54:38Z</dcterms:created>
  <dcterms:modified xsi:type="dcterms:W3CDTF">2020-10-23T15:13:48Z</dcterms:modified>
</cp:coreProperties>
</file>